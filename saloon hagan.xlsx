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dolfo" sheetId="1" r:id="rId5"/>
    <sheet state="visible" name="emily" sheetId="2" r:id="rId6"/>
    <sheet state="visible" name="codigos descontos" sheetId="3" r:id="rId7"/>
    <sheet state="visible" name="Registos" sheetId="4" r:id="rId8"/>
    <sheet state="visible" name="comida" sheetId="5" r:id="rId9"/>
    <sheet state="visible" name="SALLON" sheetId="6" r:id="rId10"/>
    <sheet state="visible" name="contas" sheetId="7" r:id="rId11"/>
    <sheet state="visible" name="materiais" sheetId="8" r:id="rId12"/>
  </sheets>
  <definedNames>
    <definedName hidden="1" localSheetId="4" name="_xlnm._FilterDatabase">comida!$F$1:$J$53</definedName>
  </definedNames>
  <calcPr/>
</workbook>
</file>

<file path=xl/sharedStrings.xml><?xml version="1.0" encoding="utf-8"?>
<sst xmlns="http://schemas.openxmlformats.org/spreadsheetml/2006/main" count="306" uniqueCount="177">
  <si>
    <t>nome</t>
  </si>
  <si>
    <t>Codigo</t>
  </si>
  <si>
    <t>Beneficios para o usuario</t>
  </si>
  <si>
    <t>O que recebemos em troca</t>
  </si>
  <si>
    <t>Desconto</t>
  </si>
  <si>
    <t>func</t>
  </si>
  <si>
    <t>meno 50% para os funcionarios do saloon</t>
  </si>
  <si>
    <t>codigo</t>
  </si>
  <si>
    <t>preço</t>
  </si>
  <si>
    <t>quantidade</t>
  </si>
  <si>
    <t>preço final</t>
  </si>
  <si>
    <t xml:space="preserve"> carne de cobra</t>
  </si>
  <si>
    <t>assar peixe suculento</t>
  </si>
  <si>
    <t>assar peixe de carne macia</t>
  </si>
  <si>
    <t>cafe do sallon</t>
  </si>
  <si>
    <t>cha de ervas</t>
  </si>
  <si>
    <t>total a pagar</t>
  </si>
  <si>
    <t>limonada</t>
  </si>
  <si>
    <t xml:space="preserve">isco de milho </t>
  </si>
  <si>
    <t>isco de pao</t>
  </si>
  <si>
    <t>carne de veado</t>
  </si>
  <si>
    <t>peixe de carne firme</t>
  </si>
  <si>
    <t>pão de milho</t>
  </si>
  <si>
    <t>N</t>
  </si>
  <si>
    <t>Guisado de carne fibrosa</t>
  </si>
  <si>
    <t>Data e Hora</t>
  </si>
  <si>
    <t>Funcionario</t>
  </si>
  <si>
    <t>serviços</t>
  </si>
  <si>
    <t>Guisado de frango</t>
  </si>
  <si>
    <t>total</t>
  </si>
  <si>
    <t>desconto</t>
  </si>
  <si>
    <t>Registos</t>
  </si>
  <si>
    <t>teste</t>
  </si>
  <si>
    <t>agua x3, jegd x2, ewjd x1</t>
  </si>
  <si>
    <t>Rodolfo</t>
  </si>
  <si>
    <t>cafe so saloon x4, Guisado de frango x4</t>
  </si>
  <si>
    <t xml:space="preserve"> carne de cobra x3, limonada x1</t>
  </si>
  <si>
    <t>cafe do sallon x1</t>
  </si>
  <si>
    <t>limonada x2, carne de veado x2</t>
  </si>
  <si>
    <t>cafe do sallon x2, carne de veado x2</t>
  </si>
  <si>
    <t xml:space="preserve"> carne de cobra x0, cafe do sallon x1, limonada x1</t>
  </si>
  <si>
    <t>cafe do sallon x4, carne de veado x4</t>
  </si>
  <si>
    <t>cha de ervas x2</t>
  </si>
  <si>
    <t xml:space="preserve"> carne de cobra x3, limonada x3</t>
  </si>
  <si>
    <t xml:space="preserve"> carne de cobra x1, limonada x1</t>
  </si>
  <si>
    <t>cafe do sallon x2, limonada x2</t>
  </si>
  <si>
    <t>veneno de cobra</t>
  </si>
  <si>
    <t>pequeno almoço completo</t>
  </si>
  <si>
    <t>whiskey 4 copos</t>
  </si>
  <si>
    <t>carne de alligador</t>
  </si>
  <si>
    <t>guisado</t>
  </si>
  <si>
    <t>guisado de carne vaca</t>
  </si>
  <si>
    <t>guisado de coelho</t>
  </si>
  <si>
    <t xml:space="preserve">guisado de peixe </t>
  </si>
  <si>
    <t>cerveja do saloon</t>
  </si>
  <si>
    <t>fernentar sidra</t>
  </si>
  <si>
    <t xml:space="preserve">cubos de açucar </t>
  </si>
  <si>
    <t>moldar velas</t>
  </si>
  <si>
    <t>feijao com bacon</t>
  </si>
  <si>
    <t>carne de carne grossa</t>
  </si>
  <si>
    <t>guisado de carneiro</t>
  </si>
  <si>
    <t>guisado de caça</t>
  </si>
  <si>
    <t xml:space="preserve">guisado de porco </t>
  </si>
  <si>
    <t>guisado de veado</t>
  </si>
  <si>
    <t>enrolar charuto</t>
  </si>
  <si>
    <t>sabao rustico</t>
  </si>
  <si>
    <t>vinho</t>
  </si>
  <si>
    <t>queijo fresco</t>
  </si>
  <si>
    <t>material</t>
  </si>
  <si>
    <t xml:space="preserve">valor no mercado </t>
  </si>
  <si>
    <t>niveis</t>
  </si>
  <si>
    <t>valor</t>
  </si>
  <si>
    <t>comida</t>
  </si>
  <si>
    <t>custo produçao</t>
  </si>
  <si>
    <t>craft</t>
  </si>
  <si>
    <t>ferramentas</t>
  </si>
  <si>
    <t>nivel</t>
  </si>
  <si>
    <t>carne de cobra</t>
  </si>
  <si>
    <t>1x carne de cobra</t>
  </si>
  <si>
    <t>carne de predador</t>
  </si>
  <si>
    <t>preparar carne de cobra</t>
  </si>
  <si>
    <t>1x carne de predador</t>
  </si>
  <si>
    <t>faca de caça</t>
  </si>
  <si>
    <t>truta acro iris</t>
  </si>
  <si>
    <t>1x truta ou salmao</t>
  </si>
  <si>
    <t>robalo</t>
  </si>
  <si>
    <t>Saloon Hagan</t>
  </si>
  <si>
    <t>1x robalo ou perca</t>
  </si>
  <si>
    <t>farinha de trigo</t>
  </si>
  <si>
    <t>pao</t>
  </si>
  <si>
    <t>NUMERO</t>
  </si>
  <si>
    <t>1x farinha  de trigo, 1x sal.1,agua</t>
  </si>
  <si>
    <t>NOME</t>
  </si>
  <si>
    <t>kit de cozinha</t>
  </si>
  <si>
    <t>CARGO</t>
  </si>
  <si>
    <t>sal</t>
  </si>
  <si>
    <t>ESTADO</t>
  </si>
  <si>
    <t>OBSERVAÇOES</t>
  </si>
  <si>
    <t>AVISOS</t>
  </si>
  <si>
    <t>Rodolfo Hagan</t>
  </si>
  <si>
    <t>Dono do Saloon</t>
  </si>
  <si>
    <t>1x açucar bruto, 1xgraos de cafe, 2x agua</t>
  </si>
  <si>
    <t>agua</t>
  </si>
  <si>
    <t>Ativo</t>
  </si>
  <si>
    <t>Emily Miller</t>
  </si>
  <si>
    <t>Funcionário do Saloon</t>
  </si>
  <si>
    <t>vazio</t>
  </si>
  <si>
    <t>1x açucar bruto, 1 silvia.1xagua</t>
  </si>
  <si>
    <t>açucar bruto</t>
  </si>
  <si>
    <t>1x açucar bruto, 2x limao, 2x agua</t>
  </si>
  <si>
    <t>graos de cafe</t>
  </si>
  <si>
    <t>1x carne de caça</t>
  </si>
  <si>
    <t xml:space="preserve">limao </t>
  </si>
  <si>
    <t>silviav</t>
  </si>
  <si>
    <t>2x farinha de milho,1x leite cru,1x ovo,1x sal</t>
  </si>
  <si>
    <t>carne de caça</t>
  </si>
  <si>
    <t>1x batata.1x feijao,1x sal,1x agua</t>
  </si>
  <si>
    <t>leite cru</t>
  </si>
  <si>
    <t>1xbatata,1x carne de  ave,1 cenoura, 1x sal 1,agua</t>
  </si>
  <si>
    <t>ovo</t>
  </si>
  <si>
    <t>1x carme de cobra,1x garrafa vazia</t>
  </si>
  <si>
    <t>batata</t>
  </si>
  <si>
    <t>1x batata,1x  carne de caça nobre, 1x feijao,1x ovo,1x sal</t>
  </si>
  <si>
    <t>carne de ave</t>
  </si>
  <si>
    <t xml:space="preserve">sebo animal </t>
  </si>
  <si>
    <t>3x gordura de animal</t>
  </si>
  <si>
    <t>cenoura</t>
  </si>
  <si>
    <t>1x fermento, 1x malte de cevada, 2x agua</t>
  </si>
  <si>
    <t>carne de caça nobre</t>
  </si>
  <si>
    <t>2x  carne de predador</t>
  </si>
  <si>
    <t>feijao</t>
  </si>
  <si>
    <t>ensopado de caça</t>
  </si>
  <si>
    <t>1x batata,2 carne de caça,1x cenoura,1x sal,1x agua</t>
  </si>
  <si>
    <t>gordura de animal</t>
  </si>
  <si>
    <t>1x batata,2 carne de caça nobre ,1x cenoura,1x sal,1x agua</t>
  </si>
  <si>
    <t>garrafa de whiskey</t>
  </si>
  <si>
    <t>garrafa vazia</t>
  </si>
  <si>
    <t>1x batata,1x truta arco iris,1x cenoura,1x sal,1x agua</t>
  </si>
  <si>
    <t>malte de cevada</t>
  </si>
  <si>
    <t>2x garrafa de vidro,2x malte de cevada,2x agua</t>
  </si>
  <si>
    <t>garrafa de vidro</t>
  </si>
  <si>
    <t>1x açucar bruto,1x fermento,2x garrafa  vazia, 4x maça,1x agua</t>
  </si>
  <si>
    <t>maça</t>
  </si>
  <si>
    <t>1x açucar bruto,1x agua</t>
  </si>
  <si>
    <t>fermento</t>
  </si>
  <si>
    <t>1x linha, 1x sebo purificado</t>
  </si>
  <si>
    <t>linha</t>
  </si>
  <si>
    <t xml:space="preserve">1x carne de caça nobre,  2x feijao,1x sal,1x tomate </t>
  </si>
  <si>
    <t>tomate</t>
  </si>
  <si>
    <t>1x carne de caça nobre</t>
  </si>
  <si>
    <t>uvas</t>
  </si>
  <si>
    <t>1x batata,2x carne caça nobre,1x feijao,1x sal 1xagua</t>
  </si>
  <si>
    <t>farinha de milho</t>
  </si>
  <si>
    <t>2x carne de caça,1x cenoura,1x sal.1x tomate, 1x agua</t>
  </si>
  <si>
    <t>1x tomate,2x carne caça nobre,1x feijao,1x sal 1xagua</t>
  </si>
  <si>
    <t>1x batata,3x carne  de caça,1x cenoura,1x sal,1x silvia,1x agua</t>
  </si>
  <si>
    <t>1x folha de tabaco, 3x tabaco seco</t>
  </si>
  <si>
    <t>1x pedra, 2x selo purificado, 1x agua</t>
  </si>
  <si>
    <t>1x fermento, 2x garrafa vazia,5x uvas,1x agua</t>
  </si>
  <si>
    <t>3x leite cru,1x sal</t>
  </si>
  <si>
    <t>secar carne de caça</t>
  </si>
  <si>
    <t>3x carne de caça, 2x sal</t>
  </si>
  <si>
    <t>guisado de ave exotica</t>
  </si>
  <si>
    <t>guisado de reptil</t>
  </si>
  <si>
    <t>bife com legumes</t>
  </si>
  <si>
    <t>ensopado nobre</t>
  </si>
  <si>
    <t>guisado de aligator</t>
  </si>
  <si>
    <t>guisado de cobrar</t>
  </si>
  <si>
    <t>destilar rum</t>
  </si>
  <si>
    <t>destilar whiskey</t>
  </si>
  <si>
    <t>secar carne de predador</t>
  </si>
  <si>
    <t>guisado de caça grossa</t>
  </si>
  <si>
    <t>destilar gin</t>
  </si>
  <si>
    <t>destilar vodka</t>
  </si>
  <si>
    <t>champanhe</t>
  </si>
  <si>
    <t>1x milho</t>
  </si>
  <si>
    <t>1x pao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</si>
</sst>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0.0"/>
      <color theme="1"/>
      <name val="Arial"/>
      <scheme val="minor"/>
    </font>
    <font>
      <sz val="14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4" fontId="1" numFmtId="0" xfId="0" applyFill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0" fillId="0" fontId="1" numFmtId="9" xfId="0" applyAlignment="1" applyFont="1" applyNumberFormat="1">
      <alignment readingOrder="0"/>
    </xf>
    <xf borderId="1" fillId="0" fontId="1" numFmtId="2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3" numFmtId="0" xfId="0" applyFont="1"/>
    <xf borderId="1" fillId="0" fontId="1" numFmtId="0" xfId="0" applyBorder="1" applyFont="1"/>
    <xf borderId="1" fillId="0" fontId="1" numFmtId="2" xfId="0" applyAlignment="1" applyBorder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5" fontId="1" numFmtId="2" xfId="0" applyFill="1" applyFont="1" applyNumberFormat="1"/>
    <xf borderId="0" fillId="0" fontId="4" numFmtId="0" xfId="0" applyAlignment="1" applyFont="1">
      <alignment horizontal="center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7</xdr:row>
      <xdr:rowOff>28575</xdr:rowOff>
    </xdr:from>
    <xdr:ext cx="1428750" cy="781050"/>
    <xdr:sp>
      <xdr:nvSpPr>
        <xdr:cNvPr id="3" name="Shape 3"/>
        <xdr:cNvSpPr/>
      </xdr:nvSpPr>
      <xdr:spPr>
        <a:xfrm>
          <a:off x="1939825" y="721800"/>
          <a:ext cx="3634200" cy="1949100"/>
        </a:xfrm>
        <a:prstGeom prst="roundRect">
          <a:avLst>
            <a:gd fmla="val 47913" name="adj"/>
          </a:avLst>
        </a:prstGeom>
        <a:solidFill>
          <a:srgbClr val="E6913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600"/>
            <a:t>Finalizar</a:t>
          </a:r>
          <a:endParaRPr sz="26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7</xdr:row>
      <xdr:rowOff>28575</xdr:rowOff>
    </xdr:from>
    <xdr:ext cx="1428750" cy="781050"/>
    <xdr:sp>
      <xdr:nvSpPr>
        <xdr:cNvPr id="3" name="Shape 3"/>
        <xdr:cNvSpPr/>
      </xdr:nvSpPr>
      <xdr:spPr>
        <a:xfrm>
          <a:off x="1939825" y="721800"/>
          <a:ext cx="3634200" cy="1949100"/>
        </a:xfrm>
        <a:prstGeom prst="roundRect">
          <a:avLst>
            <a:gd fmla="val 47913" name="adj"/>
          </a:avLst>
        </a:prstGeom>
        <a:solidFill>
          <a:srgbClr val="E6913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600"/>
            <a:t>Finalizar</a:t>
          </a:r>
          <a:endParaRPr sz="26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</row>
    <row r="2">
      <c r="A2" s="5" t="s">
        <v>11</v>
      </c>
      <c r="B2" s="6"/>
      <c r="C2" s="8">
        <v>1.0</v>
      </c>
      <c r="D2" s="9"/>
      <c r="E2" s="6" t="str">
        <f t="shared" ref="E2:E36" si="1">IF(D2="","",C2*D2)</f>
        <v/>
      </c>
    </row>
    <row r="3">
      <c r="A3" s="5" t="s">
        <v>12</v>
      </c>
      <c r="B3" s="6"/>
      <c r="C3" s="8"/>
      <c r="D3" s="9"/>
      <c r="E3" s="6" t="str">
        <f t="shared" si="1"/>
        <v/>
      </c>
    </row>
    <row r="4">
      <c r="A4" s="5" t="s">
        <v>13</v>
      </c>
      <c r="B4" s="6"/>
      <c r="C4" s="8"/>
      <c r="D4" s="9"/>
      <c r="E4" s="6" t="str">
        <f t="shared" si="1"/>
        <v/>
      </c>
    </row>
    <row r="5">
      <c r="A5" s="5" t="s">
        <v>14</v>
      </c>
      <c r="B5" s="6"/>
      <c r="C5" s="8">
        <v>2.0</v>
      </c>
      <c r="D5" s="9"/>
      <c r="E5" s="6" t="str">
        <f t="shared" si="1"/>
        <v/>
      </c>
    </row>
    <row r="6">
      <c r="A6" s="5" t="s">
        <v>15</v>
      </c>
      <c r="B6" s="6"/>
      <c r="C6" s="8">
        <v>1.0</v>
      </c>
      <c r="D6" s="9"/>
      <c r="E6" s="6" t="str">
        <f t="shared" si="1"/>
        <v/>
      </c>
      <c r="F6" s="1" t="s">
        <v>16</v>
      </c>
    </row>
    <row r="7">
      <c r="A7" s="5" t="s">
        <v>17</v>
      </c>
      <c r="B7" s="6"/>
      <c r="C7" s="8">
        <v>1.4</v>
      </c>
      <c r="D7" s="9"/>
      <c r="E7" s="6" t="str">
        <f t="shared" si="1"/>
        <v/>
      </c>
      <c r="F7" s="10">
        <f>SUM(E2:E28)*(100%-H14)</f>
        <v>0</v>
      </c>
    </row>
    <row r="8">
      <c r="A8" s="5" t="s">
        <v>18</v>
      </c>
      <c r="B8" s="6"/>
      <c r="C8" s="8">
        <v>0.1</v>
      </c>
      <c r="D8" s="6"/>
      <c r="E8" s="6" t="str">
        <f t="shared" si="1"/>
        <v/>
      </c>
    </row>
    <row r="9">
      <c r="A9" s="5" t="s">
        <v>19</v>
      </c>
      <c r="B9" s="6"/>
      <c r="C9" s="8">
        <v>0.1</v>
      </c>
      <c r="D9" s="6"/>
      <c r="E9" s="6" t="str">
        <f t="shared" si="1"/>
        <v/>
      </c>
    </row>
    <row r="10">
      <c r="A10" s="5" t="s">
        <v>20</v>
      </c>
      <c r="B10" s="11"/>
      <c r="C10" s="8">
        <v>1.0</v>
      </c>
      <c r="D10" s="5"/>
      <c r="E10" s="6" t="str">
        <f t="shared" si="1"/>
        <v/>
      </c>
    </row>
    <row r="11">
      <c r="A11" s="5" t="s">
        <v>21</v>
      </c>
      <c r="B11" s="11"/>
      <c r="C11" s="12"/>
      <c r="D11" s="11"/>
      <c r="E11" s="6" t="str">
        <f t="shared" si="1"/>
        <v/>
      </c>
    </row>
    <row r="12">
      <c r="A12" s="5" t="s">
        <v>22</v>
      </c>
      <c r="B12" s="11"/>
      <c r="C12" s="8">
        <v>1.9</v>
      </c>
      <c r="D12" s="11"/>
      <c r="E12" s="6" t="str">
        <f t="shared" si="1"/>
        <v/>
      </c>
    </row>
    <row r="13">
      <c r="A13" s="5" t="s">
        <v>24</v>
      </c>
      <c r="B13" s="11"/>
      <c r="C13" s="8">
        <v>1.35</v>
      </c>
      <c r="D13" s="11"/>
      <c r="E13" s="6" t="str">
        <f t="shared" si="1"/>
        <v/>
      </c>
    </row>
    <row r="14">
      <c r="A14" s="5" t="s">
        <v>28</v>
      </c>
      <c r="B14" s="11"/>
      <c r="C14" s="8">
        <v>2.0</v>
      </c>
      <c r="D14" s="5"/>
      <c r="E14" s="6" t="str">
        <f t="shared" si="1"/>
        <v/>
      </c>
      <c r="G14" s="1" t="s">
        <v>30</v>
      </c>
      <c r="H14" s="7">
        <v>0.0</v>
      </c>
    </row>
    <row r="15">
      <c r="A15" s="5" t="s">
        <v>46</v>
      </c>
      <c r="B15" s="11"/>
      <c r="C15" s="12"/>
      <c r="D15" s="11"/>
      <c r="E15" s="6" t="str">
        <f t="shared" si="1"/>
        <v/>
      </c>
    </row>
    <row r="16">
      <c r="A16" s="5" t="s">
        <v>47</v>
      </c>
      <c r="B16" s="11"/>
      <c r="C16" s="8">
        <v>1.65</v>
      </c>
      <c r="D16" s="11"/>
      <c r="E16" s="6" t="str">
        <f t="shared" si="1"/>
        <v/>
      </c>
    </row>
    <row r="17">
      <c r="A17" s="5" t="s">
        <v>48</v>
      </c>
      <c r="B17" s="11"/>
      <c r="C17" s="12"/>
      <c r="D17" s="11"/>
      <c r="E17" s="6" t="str">
        <f t="shared" si="1"/>
        <v/>
      </c>
    </row>
    <row r="18">
      <c r="A18" s="5" t="s">
        <v>49</v>
      </c>
      <c r="B18" s="11"/>
      <c r="C18" s="9">
        <v>0.7</v>
      </c>
      <c r="D18" s="11"/>
      <c r="E18" s="6" t="str">
        <f t="shared" si="1"/>
        <v/>
      </c>
    </row>
    <row r="19">
      <c r="A19" s="5" t="s">
        <v>50</v>
      </c>
      <c r="B19" s="11"/>
      <c r="C19" s="8">
        <v>1.81</v>
      </c>
      <c r="D19" s="11"/>
      <c r="E19" s="6" t="str">
        <f t="shared" si="1"/>
        <v/>
      </c>
    </row>
    <row r="20">
      <c r="A20" s="5" t="s">
        <v>51</v>
      </c>
      <c r="B20" s="11"/>
      <c r="C20" s="8">
        <v>1.45</v>
      </c>
      <c r="D20" s="11"/>
      <c r="E20" s="6" t="str">
        <f t="shared" si="1"/>
        <v/>
      </c>
    </row>
    <row r="21">
      <c r="A21" s="5" t="s">
        <v>52</v>
      </c>
      <c r="B21" s="11"/>
      <c r="C21" s="8">
        <v>1.9</v>
      </c>
      <c r="D21" s="11"/>
      <c r="E21" s="6" t="str">
        <f t="shared" si="1"/>
        <v/>
      </c>
    </row>
    <row r="22">
      <c r="A22" s="5" t="s">
        <v>53</v>
      </c>
      <c r="B22" s="11"/>
      <c r="C22" s="12"/>
      <c r="D22" s="11"/>
      <c r="E22" s="6" t="str">
        <f t="shared" si="1"/>
        <v/>
      </c>
    </row>
    <row r="23">
      <c r="A23" s="5" t="s">
        <v>54</v>
      </c>
      <c r="B23" s="11"/>
      <c r="C23" s="12"/>
      <c r="D23" s="11"/>
      <c r="E23" s="6" t="str">
        <f t="shared" si="1"/>
        <v/>
      </c>
    </row>
    <row r="24">
      <c r="A24" s="5" t="s">
        <v>55</v>
      </c>
      <c r="B24" s="11"/>
      <c r="C24" s="12"/>
      <c r="D24" s="11"/>
      <c r="E24" s="6" t="str">
        <f t="shared" si="1"/>
        <v/>
      </c>
    </row>
    <row r="25">
      <c r="A25" s="5" t="s">
        <v>56</v>
      </c>
      <c r="B25" s="11"/>
      <c r="C25" s="8">
        <v>0.5</v>
      </c>
      <c r="D25" s="11"/>
      <c r="E25" s="6" t="str">
        <f t="shared" si="1"/>
        <v/>
      </c>
    </row>
    <row r="26">
      <c r="A26" s="5" t="s">
        <v>57</v>
      </c>
      <c r="B26" s="11"/>
      <c r="C26" s="8">
        <v>1.3</v>
      </c>
      <c r="D26" s="11"/>
      <c r="E26" s="6" t="str">
        <f t="shared" si="1"/>
        <v/>
      </c>
    </row>
    <row r="27">
      <c r="A27" s="5" t="s">
        <v>58</v>
      </c>
      <c r="B27" s="11"/>
      <c r="C27" s="12"/>
      <c r="D27" s="11"/>
      <c r="E27" s="6" t="str">
        <f t="shared" si="1"/>
        <v/>
      </c>
    </row>
    <row r="28">
      <c r="A28" s="5" t="s">
        <v>59</v>
      </c>
      <c r="B28" s="11"/>
      <c r="C28" s="8">
        <v>1.0</v>
      </c>
      <c r="D28" s="11"/>
      <c r="E28" s="6" t="str">
        <f t="shared" si="1"/>
        <v/>
      </c>
    </row>
    <row r="29">
      <c r="A29" s="5" t="s">
        <v>60</v>
      </c>
      <c r="B29" s="11"/>
      <c r="C29" s="8">
        <v>2.5</v>
      </c>
      <c r="D29" s="11"/>
      <c r="E29" s="6" t="str">
        <f t="shared" si="1"/>
        <v/>
      </c>
    </row>
    <row r="30">
      <c r="A30" s="5" t="s">
        <v>61</v>
      </c>
      <c r="B30" s="11"/>
      <c r="C30" s="8">
        <v>2.0</v>
      </c>
      <c r="D30" s="11"/>
      <c r="E30" s="6" t="str">
        <f t="shared" si="1"/>
        <v/>
      </c>
    </row>
    <row r="31">
      <c r="A31" s="5" t="s">
        <v>62</v>
      </c>
      <c r="B31" s="11"/>
      <c r="C31" s="8">
        <v>2.2</v>
      </c>
      <c r="D31" s="11"/>
      <c r="E31" s="6" t="str">
        <f t="shared" si="1"/>
        <v/>
      </c>
    </row>
    <row r="32">
      <c r="A32" s="5" t="s">
        <v>63</v>
      </c>
      <c r="B32" s="11"/>
      <c r="C32" s="8">
        <v>2.5</v>
      </c>
      <c r="D32" s="11"/>
      <c r="E32" s="6" t="str">
        <f t="shared" si="1"/>
        <v/>
      </c>
    </row>
    <row r="33">
      <c r="A33" s="5" t="s">
        <v>64</v>
      </c>
      <c r="B33" s="11"/>
      <c r="C33" s="12"/>
      <c r="D33" s="11"/>
      <c r="E33" s="6" t="str">
        <f t="shared" si="1"/>
        <v/>
      </c>
    </row>
    <row r="34">
      <c r="A34" s="5" t="s">
        <v>65</v>
      </c>
      <c r="B34" s="11"/>
      <c r="C34" s="12"/>
      <c r="D34" s="11"/>
      <c r="E34" s="6" t="str">
        <f t="shared" si="1"/>
        <v/>
      </c>
    </row>
    <row r="35">
      <c r="A35" s="5" t="s">
        <v>66</v>
      </c>
      <c r="B35" s="11"/>
      <c r="C35" s="12"/>
      <c r="D35" s="11"/>
      <c r="E35" s="6" t="str">
        <f t="shared" si="1"/>
        <v/>
      </c>
    </row>
    <row r="36">
      <c r="A36" s="5" t="s">
        <v>67</v>
      </c>
      <c r="B36" s="11"/>
      <c r="C36" s="8">
        <v>1.4</v>
      </c>
      <c r="D36" s="11"/>
      <c r="E36" s="6" t="str">
        <f t="shared" si="1"/>
        <v/>
      </c>
    </row>
  </sheetData>
  <dataValidations>
    <dataValidation type="list" allowBlank="1" showErrorMessage="1" sqref="H14">
      <formula1>"0%,15%,50%,75%,100%"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</row>
    <row r="2">
      <c r="A2" s="5" t="s">
        <v>11</v>
      </c>
      <c r="B2" s="6"/>
      <c r="C2" s="8">
        <v>1.0</v>
      </c>
      <c r="D2" s="9"/>
      <c r="E2" s="6" t="str">
        <f t="shared" ref="E2:E36" si="1">IF(D2="","",C2*D2)</f>
        <v/>
      </c>
    </row>
    <row r="3">
      <c r="A3" s="5" t="s">
        <v>12</v>
      </c>
      <c r="B3" s="6"/>
      <c r="C3" s="8"/>
      <c r="D3" s="9"/>
      <c r="E3" s="6" t="str">
        <f t="shared" si="1"/>
        <v/>
      </c>
    </row>
    <row r="4">
      <c r="A4" s="5" t="s">
        <v>13</v>
      </c>
      <c r="B4" s="6"/>
      <c r="C4" s="8"/>
      <c r="D4" s="9"/>
      <c r="E4" s="6" t="str">
        <f t="shared" si="1"/>
        <v/>
      </c>
    </row>
    <row r="5">
      <c r="A5" s="5" t="s">
        <v>14</v>
      </c>
      <c r="B5" s="6"/>
      <c r="C5" s="8">
        <v>2.0</v>
      </c>
      <c r="D5" s="9"/>
      <c r="E5" s="6" t="str">
        <f t="shared" si="1"/>
        <v/>
      </c>
    </row>
    <row r="6">
      <c r="A6" s="5" t="s">
        <v>15</v>
      </c>
      <c r="B6" s="6"/>
      <c r="C6" s="8">
        <v>1.0</v>
      </c>
      <c r="D6" s="9"/>
      <c r="E6" s="6" t="str">
        <f t="shared" si="1"/>
        <v/>
      </c>
      <c r="F6" s="1" t="s">
        <v>16</v>
      </c>
    </row>
    <row r="7">
      <c r="A7" s="5" t="s">
        <v>17</v>
      </c>
      <c r="B7" s="6"/>
      <c r="C7" s="8">
        <v>1.4</v>
      </c>
      <c r="D7" s="9"/>
      <c r="E7" s="6" t="str">
        <f t="shared" si="1"/>
        <v/>
      </c>
      <c r="F7" s="10">
        <f>SUM(E2:E28)*(100%-H14)</f>
        <v>0</v>
      </c>
    </row>
    <row r="8">
      <c r="A8" s="5" t="s">
        <v>18</v>
      </c>
      <c r="B8" s="6"/>
      <c r="C8" s="8">
        <v>0.1</v>
      </c>
      <c r="D8" s="6"/>
      <c r="E8" s="6" t="str">
        <f t="shared" si="1"/>
        <v/>
      </c>
    </row>
    <row r="9">
      <c r="A9" s="5" t="s">
        <v>19</v>
      </c>
      <c r="B9" s="6"/>
      <c r="C9" s="8">
        <v>0.1</v>
      </c>
      <c r="D9" s="6"/>
      <c r="E9" s="6" t="str">
        <f t="shared" si="1"/>
        <v/>
      </c>
    </row>
    <row r="10">
      <c r="A10" s="5" t="s">
        <v>20</v>
      </c>
      <c r="B10" s="11"/>
      <c r="C10" s="8">
        <v>1.0</v>
      </c>
      <c r="D10" s="5"/>
      <c r="E10" s="6" t="str">
        <f t="shared" si="1"/>
        <v/>
      </c>
    </row>
    <row r="11">
      <c r="A11" s="5" t="s">
        <v>21</v>
      </c>
      <c r="B11" s="11"/>
      <c r="C11" s="12"/>
      <c r="D11" s="11"/>
      <c r="E11" s="6" t="str">
        <f t="shared" si="1"/>
        <v/>
      </c>
    </row>
    <row r="12">
      <c r="A12" s="5" t="s">
        <v>22</v>
      </c>
      <c r="B12" s="11"/>
      <c r="C12" s="8">
        <v>1.9</v>
      </c>
      <c r="D12" s="11"/>
      <c r="E12" s="6" t="str">
        <f t="shared" si="1"/>
        <v/>
      </c>
    </row>
    <row r="13">
      <c r="A13" s="5" t="s">
        <v>24</v>
      </c>
      <c r="B13" s="11"/>
      <c r="C13" s="8">
        <v>1.35</v>
      </c>
      <c r="D13" s="11"/>
      <c r="E13" s="6" t="str">
        <f t="shared" si="1"/>
        <v/>
      </c>
    </row>
    <row r="14">
      <c r="A14" s="5" t="s">
        <v>28</v>
      </c>
      <c r="B14" s="11"/>
      <c r="C14" s="8">
        <v>2.0</v>
      </c>
      <c r="D14" s="5"/>
      <c r="E14" s="6" t="str">
        <f t="shared" si="1"/>
        <v/>
      </c>
      <c r="G14" s="1" t="s">
        <v>30</v>
      </c>
      <c r="H14" s="7">
        <v>0.0</v>
      </c>
    </row>
    <row r="15">
      <c r="A15" s="5" t="s">
        <v>46</v>
      </c>
      <c r="B15" s="11"/>
      <c r="C15" s="12"/>
      <c r="D15" s="11"/>
      <c r="E15" s="6" t="str">
        <f t="shared" si="1"/>
        <v/>
      </c>
    </row>
    <row r="16">
      <c r="A16" s="5" t="s">
        <v>47</v>
      </c>
      <c r="B16" s="11"/>
      <c r="C16" s="8">
        <v>1.65</v>
      </c>
      <c r="D16" s="11"/>
      <c r="E16" s="6" t="str">
        <f t="shared" si="1"/>
        <v/>
      </c>
    </row>
    <row r="17">
      <c r="A17" s="5" t="s">
        <v>48</v>
      </c>
      <c r="B17" s="11"/>
      <c r="C17" s="12"/>
      <c r="D17" s="11"/>
      <c r="E17" s="6" t="str">
        <f t="shared" si="1"/>
        <v/>
      </c>
    </row>
    <row r="18">
      <c r="A18" s="5" t="s">
        <v>49</v>
      </c>
      <c r="B18" s="11"/>
      <c r="C18" s="9">
        <v>0.7</v>
      </c>
      <c r="D18" s="11"/>
      <c r="E18" s="6" t="str">
        <f t="shared" si="1"/>
        <v/>
      </c>
    </row>
    <row r="19">
      <c r="A19" s="5" t="s">
        <v>50</v>
      </c>
      <c r="B19" s="11"/>
      <c r="C19" s="8">
        <v>1.81</v>
      </c>
      <c r="D19" s="11"/>
      <c r="E19" s="6" t="str">
        <f t="shared" si="1"/>
        <v/>
      </c>
    </row>
    <row r="20">
      <c r="A20" s="5" t="s">
        <v>51</v>
      </c>
      <c r="B20" s="11"/>
      <c r="C20" s="8">
        <v>1.45</v>
      </c>
      <c r="D20" s="11"/>
      <c r="E20" s="6" t="str">
        <f t="shared" si="1"/>
        <v/>
      </c>
    </row>
    <row r="21">
      <c r="A21" s="5" t="s">
        <v>52</v>
      </c>
      <c r="B21" s="11"/>
      <c r="C21" s="8">
        <v>1.9</v>
      </c>
      <c r="D21" s="11"/>
      <c r="E21" s="6" t="str">
        <f t="shared" si="1"/>
        <v/>
      </c>
    </row>
    <row r="22">
      <c r="A22" s="5" t="s">
        <v>53</v>
      </c>
      <c r="B22" s="11"/>
      <c r="C22" s="12"/>
      <c r="D22" s="11"/>
      <c r="E22" s="6" t="str">
        <f t="shared" si="1"/>
        <v/>
      </c>
    </row>
    <row r="23">
      <c r="A23" s="5" t="s">
        <v>54</v>
      </c>
      <c r="B23" s="11"/>
      <c r="C23" s="12"/>
      <c r="D23" s="11"/>
      <c r="E23" s="6" t="str">
        <f t="shared" si="1"/>
        <v/>
      </c>
    </row>
    <row r="24">
      <c r="A24" s="5" t="s">
        <v>55</v>
      </c>
      <c r="B24" s="11"/>
      <c r="C24" s="12"/>
      <c r="D24" s="11"/>
      <c r="E24" s="6" t="str">
        <f t="shared" si="1"/>
        <v/>
      </c>
    </row>
    <row r="25">
      <c r="A25" s="5" t="s">
        <v>56</v>
      </c>
      <c r="B25" s="11"/>
      <c r="C25" s="8">
        <v>0.5</v>
      </c>
      <c r="D25" s="11"/>
      <c r="E25" s="6" t="str">
        <f t="shared" si="1"/>
        <v/>
      </c>
    </row>
    <row r="26">
      <c r="A26" s="5" t="s">
        <v>57</v>
      </c>
      <c r="B26" s="11"/>
      <c r="C26" s="8">
        <v>1.3</v>
      </c>
      <c r="D26" s="11"/>
      <c r="E26" s="6" t="str">
        <f t="shared" si="1"/>
        <v/>
      </c>
    </row>
    <row r="27">
      <c r="A27" s="5" t="s">
        <v>58</v>
      </c>
      <c r="B27" s="11"/>
      <c r="C27" s="12"/>
      <c r="D27" s="11"/>
      <c r="E27" s="6" t="str">
        <f t="shared" si="1"/>
        <v/>
      </c>
    </row>
    <row r="28">
      <c r="A28" s="5" t="s">
        <v>59</v>
      </c>
      <c r="B28" s="11"/>
      <c r="C28" s="8">
        <v>1.0</v>
      </c>
      <c r="D28" s="11"/>
      <c r="E28" s="6" t="str">
        <f t="shared" si="1"/>
        <v/>
      </c>
    </row>
    <row r="29">
      <c r="A29" s="5" t="s">
        <v>60</v>
      </c>
      <c r="B29" s="11"/>
      <c r="C29" s="8">
        <v>2.5</v>
      </c>
      <c r="D29" s="11"/>
      <c r="E29" s="6" t="str">
        <f t="shared" si="1"/>
        <v/>
      </c>
    </row>
    <row r="30">
      <c r="A30" s="5" t="s">
        <v>61</v>
      </c>
      <c r="B30" s="11"/>
      <c r="C30" s="8">
        <v>2.0</v>
      </c>
      <c r="D30" s="11"/>
      <c r="E30" s="6" t="str">
        <f t="shared" si="1"/>
        <v/>
      </c>
    </row>
    <row r="31">
      <c r="A31" s="5" t="s">
        <v>62</v>
      </c>
      <c r="B31" s="11"/>
      <c r="C31" s="8">
        <v>2.2</v>
      </c>
      <c r="D31" s="11"/>
      <c r="E31" s="6" t="str">
        <f t="shared" si="1"/>
        <v/>
      </c>
    </row>
    <row r="32">
      <c r="A32" s="5" t="s">
        <v>63</v>
      </c>
      <c r="B32" s="11"/>
      <c r="C32" s="8">
        <v>2.5</v>
      </c>
      <c r="D32" s="11"/>
      <c r="E32" s="6" t="str">
        <f t="shared" si="1"/>
        <v/>
      </c>
    </row>
    <row r="33">
      <c r="A33" s="5" t="s">
        <v>64</v>
      </c>
      <c r="B33" s="11"/>
      <c r="C33" s="12"/>
      <c r="D33" s="11"/>
      <c r="E33" s="6" t="str">
        <f t="shared" si="1"/>
        <v/>
      </c>
    </row>
    <row r="34">
      <c r="A34" s="5" t="s">
        <v>65</v>
      </c>
      <c r="B34" s="11"/>
      <c r="C34" s="12"/>
      <c r="D34" s="11"/>
      <c r="E34" s="6" t="str">
        <f t="shared" si="1"/>
        <v/>
      </c>
    </row>
    <row r="35">
      <c r="A35" s="5" t="s">
        <v>66</v>
      </c>
      <c r="B35" s="11"/>
      <c r="C35" s="12"/>
      <c r="D35" s="11"/>
      <c r="E35" s="6" t="str">
        <f t="shared" si="1"/>
        <v/>
      </c>
    </row>
    <row r="36">
      <c r="A36" s="5" t="s">
        <v>67</v>
      </c>
      <c r="B36" s="11"/>
      <c r="C36" s="8">
        <v>1.4</v>
      </c>
      <c r="D36" s="11"/>
      <c r="E36" s="6" t="str">
        <f t="shared" si="1"/>
        <v/>
      </c>
    </row>
  </sheetData>
  <dataValidations>
    <dataValidation type="list" allowBlank="1" showErrorMessage="1" sqref="H14">
      <formula1>"0%,15%,50%,100%"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27.13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1" t="s">
        <v>5</v>
      </c>
      <c r="B2" s="3" t="s">
        <v>6</v>
      </c>
      <c r="C2" s="4"/>
      <c r="D2" s="7">
        <v>0.5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18.13"/>
    <col customWidth="1" min="4" max="4" width="39.75"/>
  </cols>
  <sheetData>
    <row r="1">
      <c r="A1" s="5" t="s">
        <v>23</v>
      </c>
      <c r="B1" s="5" t="s">
        <v>25</v>
      </c>
      <c r="C1" s="5" t="s">
        <v>26</v>
      </c>
      <c r="D1" s="5" t="s">
        <v>27</v>
      </c>
      <c r="E1" s="5" t="s">
        <v>29</v>
      </c>
    </row>
    <row r="2">
      <c r="A2" s="13">
        <v>1.0</v>
      </c>
      <c r="B2" s="14">
        <v>46276.681342627315</v>
      </c>
      <c r="C2" s="1" t="s">
        <v>31</v>
      </c>
    </row>
    <row r="3">
      <c r="A3" s="13">
        <v>2.0</v>
      </c>
      <c r="B3" s="14">
        <v>46276.682793182874</v>
      </c>
      <c r="C3" s="1" t="s">
        <v>32</v>
      </c>
      <c r="D3" s="1" t="s">
        <v>33</v>
      </c>
    </row>
    <row r="4">
      <c r="A4" s="13">
        <v>3.0</v>
      </c>
      <c r="B4" s="14">
        <v>46280.93832269676</v>
      </c>
      <c r="C4" s="1" t="s">
        <v>32</v>
      </c>
    </row>
    <row r="5">
      <c r="A5" s="13">
        <v>4.0</v>
      </c>
      <c r="B5" s="14">
        <v>46280.93900653935</v>
      </c>
      <c r="C5" s="1" t="s">
        <v>34</v>
      </c>
      <c r="D5" s="1" t="s">
        <v>35</v>
      </c>
    </row>
    <row r="6">
      <c r="A6" s="13">
        <v>5.0</v>
      </c>
      <c r="B6" s="14">
        <v>46283.96561005787</v>
      </c>
      <c r="C6" s="1" t="s">
        <v>34</v>
      </c>
      <c r="D6" s="1" t="s">
        <v>36</v>
      </c>
    </row>
    <row r="7">
      <c r="A7" s="13">
        <v>6.0</v>
      </c>
      <c r="B7" s="14">
        <v>46284.03924190972</v>
      </c>
      <c r="C7" s="1" t="s">
        <v>34</v>
      </c>
      <c r="D7" s="1" t="s">
        <v>37</v>
      </c>
    </row>
    <row r="8">
      <c r="A8" s="13">
        <v>7.0</v>
      </c>
      <c r="B8" s="14">
        <v>46301.6954953588</v>
      </c>
      <c r="C8" s="1" t="s">
        <v>34</v>
      </c>
      <c r="D8" s="1" t="s">
        <v>38</v>
      </c>
    </row>
    <row r="9">
      <c r="A9" s="13">
        <v>8.0</v>
      </c>
      <c r="B9" s="14">
        <v>46301.94762152778</v>
      </c>
      <c r="C9" s="1" t="s">
        <v>34</v>
      </c>
      <c r="D9" s="1" t="s">
        <v>39</v>
      </c>
    </row>
    <row r="10">
      <c r="A10" s="13">
        <v>9.0</v>
      </c>
      <c r="B10" s="14">
        <v>46302.94116307871</v>
      </c>
      <c r="C10" s="1" t="s">
        <v>34</v>
      </c>
      <c r="D10" s="1" t="s">
        <v>40</v>
      </c>
    </row>
    <row r="11">
      <c r="A11" s="13">
        <v>10.0</v>
      </c>
      <c r="B11" s="14">
        <v>46302.98201241899</v>
      </c>
      <c r="C11" s="1" t="s">
        <v>34</v>
      </c>
      <c r="D11" s="1" t="s">
        <v>41</v>
      </c>
    </row>
    <row r="12">
      <c r="A12" s="13">
        <v>11.0</v>
      </c>
      <c r="B12" s="14">
        <v>46306.010200833334</v>
      </c>
      <c r="C12" s="1" t="s">
        <v>34</v>
      </c>
      <c r="D12" s="1" t="s">
        <v>42</v>
      </c>
    </row>
    <row r="13">
      <c r="A13" s="13">
        <v>12.0</v>
      </c>
      <c r="B13" s="14">
        <v>46306.96053978009</v>
      </c>
      <c r="C13" s="1" t="s">
        <v>34</v>
      </c>
      <c r="D13" s="1" t="s">
        <v>43</v>
      </c>
    </row>
    <row r="14">
      <c r="A14" s="13">
        <v>13.0</v>
      </c>
      <c r="B14" s="14">
        <v>46308.91130111111</v>
      </c>
      <c r="C14" s="1" t="s">
        <v>34</v>
      </c>
      <c r="D14" s="1" t="s">
        <v>44</v>
      </c>
    </row>
    <row r="15">
      <c r="A15" s="13">
        <v>14.0</v>
      </c>
      <c r="B15" s="14">
        <v>46309.00070575232</v>
      </c>
      <c r="C15" s="1" t="s">
        <v>34</v>
      </c>
      <c r="D15" s="1" t="s">
        <v>45</v>
      </c>
    </row>
    <row r="16">
      <c r="A16" s="13">
        <v>15.0</v>
      </c>
      <c r="B16" s="14">
        <v>46309.023556307875</v>
      </c>
      <c r="C16" s="1" t="s"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4.63"/>
    <col customWidth="1" min="6" max="6" width="24.13"/>
    <col customWidth="1" min="8" max="8" width="68.0"/>
  </cols>
  <sheetData>
    <row r="1">
      <c r="A1" s="1" t="s">
        <v>68</v>
      </c>
      <c r="B1" s="1" t="s">
        <v>69</v>
      </c>
      <c r="C1" s="1" t="s">
        <v>70</v>
      </c>
      <c r="D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</row>
    <row r="2">
      <c r="A2" s="1" t="s">
        <v>77</v>
      </c>
      <c r="B2" s="15">
        <v>0.45</v>
      </c>
      <c r="C2" s="1">
        <v>1.0</v>
      </c>
      <c r="D2" s="15">
        <v>0.18</v>
      </c>
      <c r="F2" s="1" t="s">
        <v>11</v>
      </c>
      <c r="G2" s="15">
        <f>B2+D2</f>
        <v>0.63</v>
      </c>
      <c r="H2" s="1" t="s">
        <v>78</v>
      </c>
      <c r="I2" s="4"/>
      <c r="J2" s="1">
        <v>1.0</v>
      </c>
    </row>
    <row r="3">
      <c r="A3" s="1" t="s">
        <v>79</v>
      </c>
      <c r="B3" s="15">
        <v>0.3</v>
      </c>
      <c r="C3" s="1">
        <v>2.0</v>
      </c>
      <c r="D3" s="15">
        <v>0.3</v>
      </c>
      <c r="F3" s="1" t="s">
        <v>80</v>
      </c>
      <c r="G3" s="15">
        <f>B3</f>
        <v>0.3</v>
      </c>
      <c r="H3" s="1" t="s">
        <v>81</v>
      </c>
      <c r="I3" s="1" t="s">
        <v>82</v>
      </c>
      <c r="J3" s="1">
        <v>1.0</v>
      </c>
    </row>
    <row r="4">
      <c r="A4" s="1" t="s">
        <v>83</v>
      </c>
      <c r="B4" s="16"/>
      <c r="C4" s="1">
        <v>3.0</v>
      </c>
      <c r="D4" s="15">
        <v>0.0</v>
      </c>
      <c r="F4" s="1" t="s">
        <v>12</v>
      </c>
      <c r="G4" s="17"/>
      <c r="H4" s="1" t="s">
        <v>84</v>
      </c>
      <c r="I4" s="4"/>
      <c r="J4" s="1">
        <v>1.0</v>
      </c>
    </row>
    <row r="5">
      <c r="A5" s="1" t="s">
        <v>85</v>
      </c>
      <c r="B5" s="16"/>
      <c r="C5" s="1">
        <v>4.0</v>
      </c>
      <c r="D5" s="1">
        <v>0.45</v>
      </c>
      <c r="F5" s="1" t="s">
        <v>13</v>
      </c>
      <c r="G5" s="17"/>
      <c r="H5" s="1" t="s">
        <v>87</v>
      </c>
      <c r="I5" s="4"/>
      <c r="J5" s="1">
        <v>1.0</v>
      </c>
    </row>
    <row r="6">
      <c r="A6" s="1" t="s">
        <v>88</v>
      </c>
      <c r="B6" s="15">
        <v>0.5</v>
      </c>
      <c r="C6" s="1">
        <v>5.0</v>
      </c>
      <c r="D6" s="1">
        <v>1.15</v>
      </c>
      <c r="F6" s="1" t="s">
        <v>89</v>
      </c>
      <c r="G6" s="15">
        <f>B6+B7+B8</f>
        <v>1.05</v>
      </c>
      <c r="H6" s="1" t="s">
        <v>91</v>
      </c>
      <c r="I6" s="1" t="s">
        <v>93</v>
      </c>
      <c r="J6" s="1">
        <v>1.0</v>
      </c>
    </row>
    <row r="7">
      <c r="A7" s="1" t="s">
        <v>95</v>
      </c>
      <c r="B7" s="15">
        <v>0.3</v>
      </c>
      <c r="C7" s="1">
        <v>6.0</v>
      </c>
      <c r="D7" s="1">
        <v>1.5</v>
      </c>
      <c r="F7" s="1" t="s">
        <v>14</v>
      </c>
      <c r="G7" s="15">
        <f>B9+B10+2*B8</f>
        <v>1.83</v>
      </c>
      <c r="H7" s="1" t="s">
        <v>101</v>
      </c>
      <c r="I7" s="1" t="s">
        <v>93</v>
      </c>
      <c r="J7" s="1">
        <v>1.0</v>
      </c>
    </row>
    <row r="8">
      <c r="A8" s="1" t="s">
        <v>102</v>
      </c>
      <c r="B8" s="15">
        <v>0.25</v>
      </c>
      <c r="F8" s="1" t="s">
        <v>15</v>
      </c>
      <c r="G8" s="15">
        <f>B9+B12+B8</f>
        <v>0.53</v>
      </c>
      <c r="H8" s="1" t="s">
        <v>107</v>
      </c>
      <c r="I8" s="4"/>
      <c r="J8" s="1">
        <v>1.0</v>
      </c>
    </row>
    <row r="9">
      <c r="A9" s="1" t="s">
        <v>108</v>
      </c>
      <c r="B9" s="15">
        <v>0.18</v>
      </c>
      <c r="F9" s="1" t="s">
        <v>17</v>
      </c>
      <c r="G9" s="15">
        <f>B9+2*B11+2*B8</f>
        <v>1.38</v>
      </c>
      <c r="H9" s="1" t="s">
        <v>109</v>
      </c>
      <c r="I9" s="4"/>
      <c r="J9" s="1">
        <v>1.0</v>
      </c>
    </row>
    <row r="10">
      <c r="A10" s="1" t="s">
        <v>110</v>
      </c>
      <c r="B10" s="15">
        <v>1.15</v>
      </c>
      <c r="F10" s="1" t="s">
        <v>20</v>
      </c>
      <c r="G10" s="15">
        <f>B13+D3</f>
        <v>0.48</v>
      </c>
      <c r="H10" s="1" t="s">
        <v>111</v>
      </c>
      <c r="I10" s="4"/>
      <c r="J10" s="1">
        <v>2.0</v>
      </c>
    </row>
    <row r="11">
      <c r="A11" s="1" t="s">
        <v>112</v>
      </c>
      <c r="B11" s="15">
        <v>0.35</v>
      </c>
      <c r="F11" s="1" t="s">
        <v>21</v>
      </c>
      <c r="G11" s="17"/>
      <c r="H11" s="1" t="s">
        <v>21</v>
      </c>
      <c r="I11" s="4"/>
      <c r="J11" s="1">
        <v>2.0</v>
      </c>
    </row>
    <row r="12">
      <c r="A12" s="1" t="s">
        <v>113</v>
      </c>
      <c r="B12" s="15">
        <v>0.1</v>
      </c>
      <c r="F12" s="1" t="s">
        <v>22</v>
      </c>
      <c r="G12" s="16">
        <f>2*B6+B14+B15+B7+D3</f>
        <v>1.83</v>
      </c>
      <c r="H12" s="1" t="s">
        <v>114</v>
      </c>
      <c r="I12" s="1" t="s">
        <v>93</v>
      </c>
      <c r="J12" s="1">
        <v>2.0</v>
      </c>
    </row>
    <row r="13">
      <c r="A13" s="1" t="s">
        <v>115</v>
      </c>
      <c r="B13" s="15">
        <v>0.18</v>
      </c>
      <c r="F13" s="1" t="s">
        <v>24</v>
      </c>
      <c r="G13" s="16">
        <f>B16+B20+B7+B8+D3</f>
        <v>1.28</v>
      </c>
      <c r="H13" s="1" t="s">
        <v>116</v>
      </c>
      <c r="I13" s="1" t="s">
        <v>93</v>
      </c>
      <c r="J13" s="1">
        <v>2.0</v>
      </c>
    </row>
    <row r="14">
      <c r="A14" s="1" t="s">
        <v>117</v>
      </c>
      <c r="B14" s="15">
        <v>0.19</v>
      </c>
      <c r="F14" s="1" t="s">
        <v>28</v>
      </c>
      <c r="G14" s="15">
        <f>B16+B17+B18+B7+B8+D3</f>
        <v>1.8</v>
      </c>
      <c r="H14" s="1" t="s">
        <v>118</v>
      </c>
      <c r="I14" s="1" t="s">
        <v>93</v>
      </c>
      <c r="J14" s="1">
        <v>2.0</v>
      </c>
    </row>
    <row r="15">
      <c r="A15" s="1" t="s">
        <v>119</v>
      </c>
      <c r="B15" s="15">
        <v>0.04</v>
      </c>
      <c r="F15" s="1" t="s">
        <v>46</v>
      </c>
      <c r="G15" s="16">
        <f>G2+B23+D3</f>
        <v>1.03</v>
      </c>
      <c r="H15" s="1" t="s">
        <v>120</v>
      </c>
      <c r="I15" s="1" t="s">
        <v>82</v>
      </c>
      <c r="J15" s="1">
        <v>2.0</v>
      </c>
    </row>
    <row r="16">
      <c r="A16" s="1" t="s">
        <v>121</v>
      </c>
      <c r="B16" s="15">
        <v>0.3</v>
      </c>
      <c r="F16" s="1" t="s">
        <v>47</v>
      </c>
      <c r="G16" s="16">
        <f>B16+B19+B20+B15+B7+D3</f>
        <v>1.57</v>
      </c>
      <c r="H16" s="1" t="s">
        <v>122</v>
      </c>
      <c r="I16" s="1" t="s">
        <v>93</v>
      </c>
      <c r="J16" s="1">
        <v>2.0</v>
      </c>
    </row>
    <row r="17">
      <c r="A17" s="1" t="s">
        <v>123</v>
      </c>
      <c r="B17" s="15">
        <v>0.15</v>
      </c>
      <c r="F17" s="1" t="s">
        <v>124</v>
      </c>
      <c r="G17" s="16">
        <f>3*B21+D3</f>
        <v>0.3</v>
      </c>
      <c r="H17" s="1" t="s">
        <v>125</v>
      </c>
      <c r="I17" s="4"/>
      <c r="J17" s="1">
        <v>2.0</v>
      </c>
    </row>
    <row r="18">
      <c r="A18" s="1" t="s">
        <v>126</v>
      </c>
      <c r="B18" s="15">
        <v>0.5</v>
      </c>
      <c r="F18" s="1" t="s">
        <v>48</v>
      </c>
      <c r="G18" s="16">
        <f>B22+D3</f>
        <v>0.3</v>
      </c>
      <c r="H18" s="1" t="s">
        <v>127</v>
      </c>
      <c r="I18" s="4"/>
      <c r="J18" s="1">
        <v>2.0</v>
      </c>
    </row>
    <row r="19">
      <c r="A19" s="1" t="s">
        <v>128</v>
      </c>
      <c r="B19" s="15">
        <v>0.5</v>
      </c>
      <c r="F19" s="1" t="s">
        <v>49</v>
      </c>
      <c r="G19" s="16">
        <f>2*B3+D4</f>
        <v>0.6</v>
      </c>
      <c r="H19" s="1" t="s">
        <v>129</v>
      </c>
      <c r="I19" s="4"/>
      <c r="J19" s="1">
        <v>3.0</v>
      </c>
    </row>
    <row r="20">
      <c r="A20" s="1" t="s">
        <v>130</v>
      </c>
      <c r="B20" s="15">
        <v>0.13</v>
      </c>
      <c r="F20" s="1" t="s">
        <v>131</v>
      </c>
      <c r="G20" s="16">
        <f>B16+2*B13+B18+B7+B8+D4</f>
        <v>1.71</v>
      </c>
      <c r="H20" s="1" t="s">
        <v>132</v>
      </c>
      <c r="I20" s="1" t="s">
        <v>93</v>
      </c>
      <c r="J20" s="1">
        <v>3.0</v>
      </c>
    </row>
    <row r="21">
      <c r="A21" s="1" t="s">
        <v>133</v>
      </c>
      <c r="B21" s="16"/>
      <c r="F21" s="1" t="s">
        <v>51</v>
      </c>
      <c r="G21" s="16">
        <f>B16+B19+B18+B7+B8+D4</f>
        <v>1.85</v>
      </c>
      <c r="H21" s="1" t="s">
        <v>134</v>
      </c>
      <c r="I21" s="1" t="s">
        <v>93</v>
      </c>
      <c r="J21" s="1">
        <v>3.0</v>
      </c>
    </row>
    <row r="22">
      <c r="A22" s="1" t="s">
        <v>135</v>
      </c>
      <c r="B22" s="16"/>
      <c r="F22" s="1" t="s">
        <v>52</v>
      </c>
      <c r="G22" s="16">
        <f>B16+2*B13+B18+B7+B8+D4</f>
        <v>1.71</v>
      </c>
      <c r="H22" s="1" t="s">
        <v>132</v>
      </c>
      <c r="I22" s="1" t="s">
        <v>93</v>
      </c>
      <c r="J22" s="1">
        <v>3.0</v>
      </c>
    </row>
    <row r="23">
      <c r="A23" s="1" t="s">
        <v>136</v>
      </c>
      <c r="B23" s="15">
        <v>0.1</v>
      </c>
      <c r="F23" s="1" t="s">
        <v>53</v>
      </c>
      <c r="G23" s="17"/>
      <c r="H23" s="1" t="s">
        <v>137</v>
      </c>
      <c r="I23" s="1" t="s">
        <v>93</v>
      </c>
      <c r="J23" s="1">
        <v>3.0</v>
      </c>
    </row>
    <row r="24">
      <c r="A24" s="1" t="s">
        <v>138</v>
      </c>
      <c r="F24" s="1" t="s">
        <v>54</v>
      </c>
      <c r="G24" s="16">
        <f>2*B25+2*B24+2*B8+D4</f>
        <v>0.5</v>
      </c>
      <c r="H24" s="1" t="s">
        <v>139</v>
      </c>
      <c r="I24" s="1" t="s">
        <v>93</v>
      </c>
      <c r="J24" s="1">
        <v>3.0</v>
      </c>
    </row>
    <row r="25">
      <c r="A25" s="1" t="s">
        <v>140</v>
      </c>
      <c r="F25" s="1" t="s">
        <v>55</v>
      </c>
      <c r="G25" s="16">
        <f>B9+B27+B8+2*B23+4*B26+D4</f>
        <v>1.83</v>
      </c>
      <c r="H25" s="1" t="s">
        <v>141</v>
      </c>
      <c r="I25" s="1" t="s">
        <v>93</v>
      </c>
      <c r="J25" s="1">
        <v>3.0</v>
      </c>
    </row>
    <row r="26">
      <c r="A26" s="1" t="s">
        <v>142</v>
      </c>
      <c r="B26" s="1">
        <v>0.3</v>
      </c>
      <c r="F26" s="1" t="s">
        <v>56</v>
      </c>
      <c r="G26" s="16">
        <f>B9+B8+D4</f>
        <v>0.43</v>
      </c>
      <c r="H26" s="1" t="s">
        <v>143</v>
      </c>
      <c r="I26" s="4"/>
      <c r="J26" s="1">
        <v>3.0</v>
      </c>
    </row>
    <row r="27">
      <c r="A27" s="1" t="s">
        <v>144</v>
      </c>
      <c r="F27" s="1" t="s">
        <v>57</v>
      </c>
      <c r="G27" s="16">
        <f>B28+G17+D4</f>
        <v>1</v>
      </c>
      <c r="H27" s="1" t="s">
        <v>145</v>
      </c>
      <c r="I27" s="4"/>
      <c r="J27" s="1">
        <v>3.0</v>
      </c>
    </row>
    <row r="28">
      <c r="A28" s="1" t="s">
        <v>146</v>
      </c>
      <c r="B28" s="1">
        <v>0.7</v>
      </c>
      <c r="F28" s="1" t="s">
        <v>58</v>
      </c>
      <c r="G28" s="16">
        <f>B19+2*B20+B7+B29+D4</f>
        <v>1.06</v>
      </c>
      <c r="H28" s="1" t="s">
        <v>147</v>
      </c>
      <c r="I28" s="1" t="s">
        <v>93</v>
      </c>
      <c r="J28" s="1">
        <v>3.0</v>
      </c>
    </row>
    <row r="29">
      <c r="A29" s="1" t="s">
        <v>148</v>
      </c>
      <c r="F29" s="1" t="s">
        <v>59</v>
      </c>
      <c r="G29" s="16">
        <f>B19+D5</f>
        <v>0.95</v>
      </c>
      <c r="H29" s="1" t="s">
        <v>149</v>
      </c>
      <c r="I29" s="4"/>
      <c r="J29" s="1">
        <v>4.0</v>
      </c>
    </row>
    <row r="30">
      <c r="A30" s="1" t="s">
        <v>150</v>
      </c>
      <c r="B30" s="1">
        <v>0.55</v>
      </c>
      <c r="F30" s="1" t="s">
        <v>60</v>
      </c>
      <c r="G30" s="16">
        <f>B16+2*B19+B20+B7+B8+D5</f>
        <v>2.43</v>
      </c>
      <c r="H30" s="1" t="s">
        <v>151</v>
      </c>
      <c r="I30" s="1" t="s">
        <v>93</v>
      </c>
      <c r="J30" s="1">
        <v>4.0</v>
      </c>
    </row>
    <row r="31">
      <c r="A31" s="1" t="s">
        <v>152</v>
      </c>
      <c r="F31" s="1" t="s">
        <v>61</v>
      </c>
      <c r="G31" s="16">
        <f>2*B13+B18+B7+B29+B8+D5</f>
        <v>1.86</v>
      </c>
      <c r="H31" s="1" t="s">
        <v>153</v>
      </c>
      <c r="I31" s="1" t="s">
        <v>93</v>
      </c>
      <c r="J31" s="1">
        <v>4.0</v>
      </c>
    </row>
    <row r="32">
      <c r="F32" s="1" t="s">
        <v>62</v>
      </c>
      <c r="G32" s="16">
        <f>B29+2*B19+B20+B7+B8+D5</f>
        <v>2.13</v>
      </c>
      <c r="H32" s="1" t="s">
        <v>154</v>
      </c>
      <c r="I32" s="1" t="s">
        <v>93</v>
      </c>
      <c r="J32" s="1">
        <v>4.0</v>
      </c>
    </row>
    <row r="33">
      <c r="F33" s="1" t="s">
        <v>63</v>
      </c>
      <c r="G33" s="15">
        <f>B16+3*B13+B18+B7+B12+B8+D5</f>
        <v>2.44</v>
      </c>
      <c r="H33" s="1" t="s">
        <v>155</v>
      </c>
      <c r="I33" s="1" t="s">
        <v>93</v>
      </c>
      <c r="J33" s="1">
        <v>4.0</v>
      </c>
    </row>
    <row r="34">
      <c r="F34" s="1" t="s">
        <v>64</v>
      </c>
      <c r="G34" s="16"/>
      <c r="H34" s="1" t="s">
        <v>156</v>
      </c>
      <c r="I34" s="4"/>
      <c r="J34" s="1">
        <v>4.0</v>
      </c>
    </row>
    <row r="35">
      <c r="F35" s="1" t="s">
        <v>65</v>
      </c>
      <c r="G35" s="16"/>
      <c r="H35" s="1" t="s">
        <v>157</v>
      </c>
      <c r="I35" s="4"/>
      <c r="J35" s="1">
        <v>4.0</v>
      </c>
    </row>
    <row r="36">
      <c r="F36" s="1" t="s">
        <v>66</v>
      </c>
      <c r="G36" s="16">
        <f>B27+2*B25+5*B30+B8+D5</f>
        <v>3.45</v>
      </c>
      <c r="H36" s="1" t="s">
        <v>158</v>
      </c>
      <c r="I36" s="1" t="s">
        <v>93</v>
      </c>
      <c r="J36" s="1">
        <v>4.0</v>
      </c>
    </row>
    <row r="37">
      <c r="F37" s="1" t="s">
        <v>67</v>
      </c>
      <c r="G37" s="15">
        <f>3*B14+B7+D5</f>
        <v>1.32</v>
      </c>
      <c r="H37" s="1" t="s">
        <v>159</v>
      </c>
      <c r="I37" s="1" t="s">
        <v>93</v>
      </c>
      <c r="J37" s="1">
        <v>4.0</v>
      </c>
    </row>
    <row r="38">
      <c r="F38" s="1" t="s">
        <v>160</v>
      </c>
      <c r="G38" s="16">
        <f>3*B13+2*B7</f>
        <v>1.14</v>
      </c>
      <c r="H38" s="1" t="s">
        <v>161</v>
      </c>
      <c r="I38" s="4"/>
      <c r="J38" s="1">
        <v>4.0</v>
      </c>
    </row>
    <row r="39">
      <c r="F39" s="1" t="s">
        <v>162</v>
      </c>
      <c r="G39" s="16"/>
    </row>
    <row r="40">
      <c r="F40" s="1" t="s">
        <v>163</v>
      </c>
      <c r="G40" s="16"/>
    </row>
    <row r="41">
      <c r="F41" s="1" t="s">
        <v>164</v>
      </c>
      <c r="G41" s="16"/>
    </row>
    <row r="42">
      <c r="F42" s="1" t="s">
        <v>165</v>
      </c>
      <c r="G42" s="16"/>
    </row>
    <row r="43">
      <c r="F43" s="1" t="s">
        <v>166</v>
      </c>
      <c r="G43" s="16"/>
    </row>
    <row r="44">
      <c r="F44" s="1" t="s">
        <v>167</v>
      </c>
      <c r="G44" s="16"/>
    </row>
    <row r="45">
      <c r="F45" s="1" t="s">
        <v>168</v>
      </c>
      <c r="G45" s="16"/>
    </row>
    <row r="46">
      <c r="F46" s="1" t="s">
        <v>169</v>
      </c>
      <c r="G46" s="16"/>
    </row>
    <row r="47">
      <c r="F47" s="1" t="s">
        <v>170</v>
      </c>
      <c r="G47" s="16"/>
    </row>
    <row r="48">
      <c r="F48" s="1" t="s">
        <v>171</v>
      </c>
      <c r="G48" s="16"/>
    </row>
    <row r="49">
      <c r="F49" s="1" t="s">
        <v>172</v>
      </c>
      <c r="G49" s="16"/>
    </row>
    <row r="50">
      <c r="F50" s="1" t="s">
        <v>173</v>
      </c>
      <c r="G50" s="16"/>
    </row>
    <row r="51">
      <c r="F51" s="1" t="s">
        <v>174</v>
      </c>
      <c r="G51" s="16"/>
    </row>
    <row r="52">
      <c r="F52" s="1" t="s">
        <v>18</v>
      </c>
      <c r="G52" s="16"/>
      <c r="H52" s="1" t="s">
        <v>175</v>
      </c>
    </row>
    <row r="53">
      <c r="F53" s="1" t="s">
        <v>19</v>
      </c>
      <c r="G53" s="15">
        <v>1.1</v>
      </c>
      <c r="H53" s="1" t="s">
        <v>176</v>
      </c>
    </row>
  </sheetData>
  <autoFilter ref="$F$1:$J$5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24.63"/>
    <col customWidth="1" min="5" max="5" width="53.38"/>
  </cols>
  <sheetData>
    <row r="1">
      <c r="A1" s="18" t="s">
        <v>86</v>
      </c>
    </row>
    <row r="2">
      <c r="I2" s="19"/>
    </row>
    <row r="3">
      <c r="A3" s="20" t="s">
        <v>90</v>
      </c>
      <c r="B3" s="20" t="s">
        <v>92</v>
      </c>
      <c r="C3" s="20" t="s">
        <v>94</v>
      </c>
      <c r="D3" s="20" t="s">
        <v>96</v>
      </c>
      <c r="E3" s="20" t="s">
        <v>97</v>
      </c>
      <c r="F3" s="20" t="s">
        <v>98</v>
      </c>
    </row>
    <row r="4">
      <c r="A4" s="1">
        <v>1.0</v>
      </c>
      <c r="B4" s="1" t="s">
        <v>99</v>
      </c>
      <c r="C4" s="21" t="s">
        <v>100</v>
      </c>
      <c r="D4" s="1" t="s">
        <v>103</v>
      </c>
    </row>
    <row r="5">
      <c r="A5" s="1">
        <v>2.0</v>
      </c>
      <c r="B5" s="1" t="s">
        <v>104</v>
      </c>
      <c r="C5" s="21" t="s">
        <v>105</v>
      </c>
      <c r="D5" s="1" t="s">
        <v>103</v>
      </c>
    </row>
    <row r="6">
      <c r="A6" s="1">
        <v>3.0</v>
      </c>
      <c r="C6" s="21" t="s">
        <v>106</v>
      </c>
      <c r="D6" s="1" t="s">
        <v>106</v>
      </c>
    </row>
    <row r="7">
      <c r="A7" s="1">
        <v>4.0</v>
      </c>
      <c r="C7" s="21" t="s">
        <v>106</v>
      </c>
      <c r="D7" s="1" t="s">
        <v>106</v>
      </c>
    </row>
    <row r="8">
      <c r="A8" s="1">
        <v>5.0</v>
      </c>
      <c r="C8" s="21" t="s">
        <v>106</v>
      </c>
      <c r="D8" s="1" t="s">
        <v>106</v>
      </c>
    </row>
    <row r="9">
      <c r="A9" s="1">
        <v>6.0</v>
      </c>
      <c r="C9" s="21" t="s">
        <v>106</v>
      </c>
      <c r="D9" s="1" t="s">
        <v>106</v>
      </c>
    </row>
    <row r="10">
      <c r="A10" s="1">
        <v>7.0</v>
      </c>
      <c r="C10" s="21" t="s">
        <v>106</v>
      </c>
      <c r="D10" s="1" t="s">
        <v>106</v>
      </c>
    </row>
    <row r="11">
      <c r="A11" s="1">
        <v>8.0</v>
      </c>
      <c r="C11" s="21" t="s">
        <v>106</v>
      </c>
      <c r="D11" s="1" t="s">
        <v>106</v>
      </c>
    </row>
    <row r="12">
      <c r="A12" s="1">
        <v>9.0</v>
      </c>
      <c r="C12" s="21" t="s">
        <v>106</v>
      </c>
      <c r="D12" s="1" t="s">
        <v>106</v>
      </c>
    </row>
    <row r="13">
      <c r="A13" s="1">
        <v>10.0</v>
      </c>
      <c r="C13" s="21" t="s">
        <v>106</v>
      </c>
      <c r="D13" s="1" t="s">
        <v>106</v>
      </c>
    </row>
    <row r="14">
      <c r="A14" s="1">
        <v>11.0</v>
      </c>
      <c r="C14" s="21" t="s">
        <v>106</v>
      </c>
      <c r="D14" s="1" t="s">
        <v>106</v>
      </c>
    </row>
    <row r="15">
      <c r="A15" s="1">
        <v>12.0</v>
      </c>
      <c r="C15" s="21" t="s">
        <v>106</v>
      </c>
      <c r="D15" s="1" t="s">
        <v>106</v>
      </c>
    </row>
  </sheetData>
  <mergeCells count="1">
    <mergeCell ref="A1:F2"/>
  </mergeCells>
  <dataValidations>
    <dataValidation type="list" allowBlank="1" showErrorMessage="1" sqref="C4:C15">
      <formula1>"Dono do Saloon,Gerente,Funcionário do Saloon,Aprendiz,vazio"</formula1>
    </dataValidation>
    <dataValidation type="list" allowBlank="1" showErrorMessage="1" sqref="D4:D15">
      <formula1>"Ativo,Ausente,inativo,congelado,Em formação,vazio"</formula1>
    </dataValidation>
    <dataValidation type="list" allowBlank="1" showErrorMessage="1" sqref="I2">
      <formula1>"Opção 1,Opção 2"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